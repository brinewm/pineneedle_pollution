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ostdoc\Research\Conifer pollution\tidytacos_WS\"/>
    </mc:Choice>
  </mc:AlternateContent>
  <xr:revisionPtr revIDLastSave="0" documentId="13_ncr:40009_{938748EE-CF3E-453D-BC0A-CB92E4413559}" xr6:coauthVersionLast="47" xr6:coauthVersionMax="47" xr10:uidLastSave="{00000000-0000-0000-0000-000000000000}"/>
  <bookViews>
    <workbookView xWindow="-108" yWindow="-108" windowWidth="23256" windowHeight="12576"/>
  </bookViews>
  <sheets>
    <sheet name="samples" sheetId="1" r:id="rId1"/>
  </sheets>
  <calcPr calcId="0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2" i="1"/>
</calcChain>
</file>

<file path=xl/sharedStrings.xml><?xml version="1.0" encoding="utf-8"?>
<sst xmlns="http://schemas.openxmlformats.org/spreadsheetml/2006/main" count="158" uniqueCount="70">
  <si>
    <t>sample</t>
  </si>
  <si>
    <t>WS-NCDNA-2</t>
  </si>
  <si>
    <t>WS-NCDNA1-2</t>
  </si>
  <si>
    <t>WS-NCDNA2-2</t>
  </si>
  <si>
    <t>WS-NCDNA3-2</t>
  </si>
  <si>
    <t>WS-NCDNA4-2</t>
  </si>
  <si>
    <t>WS-NCPCR3-2</t>
  </si>
  <si>
    <t>WS-NCPCR4-2</t>
  </si>
  <si>
    <t>WS-NCPCR5-2</t>
  </si>
  <si>
    <t>WS-p10-2</t>
  </si>
  <si>
    <t>WS-p11-2</t>
  </si>
  <si>
    <t>WS-p13-2</t>
  </si>
  <si>
    <t>WS-p14a-2</t>
  </si>
  <si>
    <t>WS-p14b-2</t>
  </si>
  <si>
    <t>WS-p15-2</t>
  </si>
  <si>
    <t>WS-p17-2</t>
  </si>
  <si>
    <t>WS-p18-2</t>
  </si>
  <si>
    <t>WS-p2-2</t>
  </si>
  <si>
    <t>WS-p23-2</t>
  </si>
  <si>
    <t>WS-p24-2</t>
  </si>
  <si>
    <t>WS-p25-2</t>
  </si>
  <si>
    <t>WS-p26-2</t>
  </si>
  <si>
    <t>WS-p27-2</t>
  </si>
  <si>
    <t>WS-p29-2</t>
  </si>
  <si>
    <t>WS-p3-2</t>
  </si>
  <si>
    <t>WS-p31-2</t>
  </si>
  <si>
    <t>WS-p32-2</t>
  </si>
  <si>
    <t>WS-p33-2</t>
  </si>
  <si>
    <t>WS-p34-2</t>
  </si>
  <si>
    <t>WS-p35-2</t>
  </si>
  <si>
    <t>WS-p37-2</t>
  </si>
  <si>
    <t>WS-p39-2</t>
  </si>
  <si>
    <t>WS-p4-2</t>
  </si>
  <si>
    <t>WS-p40-2</t>
  </si>
  <si>
    <t>WS-p42-2</t>
  </si>
  <si>
    <t>WS-p44-2</t>
  </si>
  <si>
    <t>WS-p45-2</t>
  </si>
  <si>
    <t>WS-p46-2</t>
  </si>
  <si>
    <t>WS-p47-2</t>
  </si>
  <si>
    <t>WS-p48-2</t>
  </si>
  <si>
    <t>WS-p6-2</t>
  </si>
  <si>
    <t>WS-p7-2</t>
  </si>
  <si>
    <t>WS-p8-2</t>
  </si>
  <si>
    <t>WS-p9-2</t>
  </si>
  <si>
    <t>pot</t>
  </si>
  <si>
    <t>tree</t>
  </si>
  <si>
    <t>blank</t>
  </si>
  <si>
    <t>kitblank</t>
  </si>
  <si>
    <t>pcrblank</t>
  </si>
  <si>
    <t>tot_weight</t>
  </si>
  <si>
    <t>needle_weight</t>
  </si>
  <si>
    <t>NA</t>
  </si>
  <si>
    <t>where did sample P21 go? It was weighed but not extracted</t>
  </si>
  <si>
    <t>means p27 could be p21…</t>
  </si>
  <si>
    <t>ring</t>
  </si>
  <si>
    <t>1B</t>
  </si>
  <si>
    <t>3C</t>
  </si>
  <si>
    <t>4D</t>
  </si>
  <si>
    <t>2O</t>
  </si>
  <si>
    <t>5O</t>
  </si>
  <si>
    <t>6B</t>
  </si>
  <si>
    <t>7D</t>
  </si>
  <si>
    <t>8C</t>
  </si>
  <si>
    <t>7Dor6B</t>
  </si>
  <si>
    <t>9B</t>
  </si>
  <si>
    <t>10O</t>
  </si>
  <si>
    <t>11C</t>
  </si>
  <si>
    <t>12D</t>
  </si>
  <si>
    <t>extracted_DNA</t>
  </si>
  <si>
    <t>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</si>
</sst>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tabSelected="1" workbookViewId="0">
      <selection activeCell="E37" sqref="E37:E44"/>
    </sheetView>
  </sheetViews>
  <sheetFormatPr defaultRowHeight="14.4" x14ac:dyDescent="0.3"/>
  <cols>
    <col min="7" max="7" width="9.88671875" bestFit="1" customWidth="1"/>
    <col min="8" max="8" width="12.88671875" bestFit="1" customWidth="1"/>
  </cols>
  <sheetData>
    <row r="1" spans="1:12" x14ac:dyDescent="0.3">
      <c r="A1" t="s">
        <v>0</v>
      </c>
      <c r="B1" t="s">
        <v>44</v>
      </c>
      <c r="C1" t="s">
        <v>45</v>
      </c>
      <c r="D1" t="s">
        <v>54</v>
      </c>
      <c r="E1" t="s">
        <v>69</v>
      </c>
      <c r="F1" t="s">
        <v>68</v>
      </c>
      <c r="G1" t="s">
        <v>49</v>
      </c>
      <c r="H1" t="s">
        <v>50</v>
      </c>
    </row>
    <row r="2" spans="1:12" x14ac:dyDescent="0.3">
      <c r="A2" t="s">
        <v>17</v>
      </c>
      <c r="B2">
        <v>2</v>
      </c>
      <c r="C2">
        <v>2</v>
      </c>
      <c r="D2" t="s">
        <v>55</v>
      </c>
      <c r="E2" t="str">
        <f>RIGHT(D2,1)</f>
        <v>B</v>
      </c>
      <c r="F2">
        <v>1.9</v>
      </c>
      <c r="G2">
        <v>7208</v>
      </c>
      <c r="H2">
        <f>G2-6695</f>
        <v>513</v>
      </c>
    </row>
    <row r="3" spans="1:12" x14ac:dyDescent="0.3">
      <c r="A3" t="s">
        <v>24</v>
      </c>
      <c r="B3">
        <v>3</v>
      </c>
      <c r="C3">
        <v>3</v>
      </c>
      <c r="D3" t="s">
        <v>55</v>
      </c>
      <c r="E3" t="str">
        <f t="shared" ref="E3:E44" si="0">RIGHT(D3,1)</f>
        <v>B</v>
      </c>
      <c r="F3">
        <v>0.72399999999999998</v>
      </c>
      <c r="G3">
        <v>7465</v>
      </c>
      <c r="H3">
        <f t="shared" ref="H3:H36" si="1">G3-6695</f>
        <v>770</v>
      </c>
    </row>
    <row r="4" spans="1:12" x14ac:dyDescent="0.3">
      <c r="A4" t="s">
        <v>32</v>
      </c>
      <c r="B4">
        <v>4</v>
      </c>
      <c r="C4">
        <v>3</v>
      </c>
      <c r="D4" t="s">
        <v>55</v>
      </c>
      <c r="E4" t="str">
        <f t="shared" si="0"/>
        <v>B</v>
      </c>
      <c r="F4">
        <v>1.81</v>
      </c>
      <c r="G4">
        <v>7574</v>
      </c>
      <c r="H4">
        <f t="shared" si="1"/>
        <v>879</v>
      </c>
    </row>
    <row r="5" spans="1:12" x14ac:dyDescent="0.3">
      <c r="A5" t="s">
        <v>40</v>
      </c>
      <c r="B5">
        <v>6</v>
      </c>
      <c r="C5">
        <v>3</v>
      </c>
      <c r="D5" t="s">
        <v>58</v>
      </c>
      <c r="E5" t="str">
        <f t="shared" si="0"/>
        <v>O</v>
      </c>
      <c r="F5" t="s">
        <v>51</v>
      </c>
      <c r="G5">
        <v>7324</v>
      </c>
      <c r="H5">
        <f t="shared" si="1"/>
        <v>629</v>
      </c>
      <c r="L5" t="s">
        <v>52</v>
      </c>
    </row>
    <row r="6" spans="1:12" x14ac:dyDescent="0.3">
      <c r="A6" t="s">
        <v>41</v>
      </c>
      <c r="B6">
        <v>7</v>
      </c>
      <c r="C6">
        <v>2</v>
      </c>
      <c r="D6" t="s">
        <v>58</v>
      </c>
      <c r="E6" t="str">
        <f t="shared" si="0"/>
        <v>O</v>
      </c>
      <c r="F6" t="s">
        <v>51</v>
      </c>
      <c r="G6">
        <v>6918</v>
      </c>
      <c r="H6">
        <f t="shared" si="1"/>
        <v>223</v>
      </c>
      <c r="L6" t="s">
        <v>53</v>
      </c>
    </row>
    <row r="7" spans="1:12" x14ac:dyDescent="0.3">
      <c r="A7" t="s">
        <v>42</v>
      </c>
      <c r="B7">
        <v>8</v>
      </c>
      <c r="C7">
        <v>3</v>
      </c>
      <c r="D7" t="s">
        <v>58</v>
      </c>
      <c r="E7" t="str">
        <f t="shared" si="0"/>
        <v>O</v>
      </c>
      <c r="F7" t="s">
        <v>51</v>
      </c>
      <c r="G7">
        <v>6958</v>
      </c>
      <c r="H7">
        <f t="shared" si="1"/>
        <v>263</v>
      </c>
    </row>
    <row r="8" spans="1:12" x14ac:dyDescent="0.3">
      <c r="A8" t="s">
        <v>43</v>
      </c>
      <c r="B8">
        <v>9</v>
      </c>
      <c r="C8">
        <v>3</v>
      </c>
      <c r="D8" t="s">
        <v>56</v>
      </c>
      <c r="E8" t="str">
        <f t="shared" si="0"/>
        <v>C</v>
      </c>
      <c r="F8">
        <v>1.87</v>
      </c>
      <c r="G8">
        <v>7100</v>
      </c>
      <c r="H8">
        <f t="shared" si="1"/>
        <v>405</v>
      </c>
    </row>
    <row r="9" spans="1:12" x14ac:dyDescent="0.3">
      <c r="A9" t="s">
        <v>9</v>
      </c>
      <c r="B9">
        <v>10</v>
      </c>
      <c r="C9">
        <v>3</v>
      </c>
      <c r="D9" t="s">
        <v>56</v>
      </c>
      <c r="E9" t="str">
        <f t="shared" si="0"/>
        <v>C</v>
      </c>
      <c r="F9">
        <v>2.12</v>
      </c>
      <c r="G9">
        <v>7072</v>
      </c>
      <c r="H9">
        <f t="shared" si="1"/>
        <v>377</v>
      </c>
    </row>
    <row r="10" spans="1:12" x14ac:dyDescent="0.3">
      <c r="A10" t="s">
        <v>10</v>
      </c>
      <c r="B10">
        <v>11</v>
      </c>
      <c r="C10">
        <v>3</v>
      </c>
      <c r="D10" t="s">
        <v>56</v>
      </c>
      <c r="E10" t="str">
        <f t="shared" si="0"/>
        <v>C</v>
      </c>
      <c r="F10">
        <v>1.76</v>
      </c>
      <c r="G10">
        <v>7667</v>
      </c>
      <c r="H10">
        <f t="shared" si="1"/>
        <v>972</v>
      </c>
    </row>
    <row r="11" spans="1:12" x14ac:dyDescent="0.3">
      <c r="A11" t="s">
        <v>11</v>
      </c>
      <c r="B11">
        <v>13</v>
      </c>
      <c r="C11">
        <v>3</v>
      </c>
      <c r="D11" t="s">
        <v>57</v>
      </c>
      <c r="E11" t="str">
        <f t="shared" si="0"/>
        <v>D</v>
      </c>
      <c r="F11">
        <v>4.45</v>
      </c>
      <c r="G11">
        <v>7343</v>
      </c>
      <c r="H11">
        <f t="shared" si="1"/>
        <v>648</v>
      </c>
    </row>
    <row r="12" spans="1:12" x14ac:dyDescent="0.3">
      <c r="A12" t="s">
        <v>12</v>
      </c>
      <c r="B12">
        <v>14</v>
      </c>
      <c r="C12">
        <v>3</v>
      </c>
      <c r="D12" t="s">
        <v>57</v>
      </c>
      <c r="E12" t="str">
        <f t="shared" si="0"/>
        <v>D</v>
      </c>
      <c r="F12">
        <v>1.22</v>
      </c>
      <c r="G12">
        <v>7315</v>
      </c>
      <c r="H12">
        <f t="shared" si="1"/>
        <v>620</v>
      </c>
    </row>
    <row r="13" spans="1:12" x14ac:dyDescent="0.3">
      <c r="A13" t="s">
        <v>14</v>
      </c>
      <c r="B13">
        <v>15</v>
      </c>
      <c r="C13">
        <v>3</v>
      </c>
      <c r="D13" t="s">
        <v>57</v>
      </c>
      <c r="E13" t="str">
        <f t="shared" si="0"/>
        <v>D</v>
      </c>
      <c r="F13" t="s">
        <v>51</v>
      </c>
      <c r="G13">
        <v>7405</v>
      </c>
      <c r="H13">
        <f t="shared" si="1"/>
        <v>710</v>
      </c>
    </row>
    <row r="14" spans="1:12" x14ac:dyDescent="0.3">
      <c r="A14" t="s">
        <v>15</v>
      </c>
      <c r="B14">
        <v>17</v>
      </c>
      <c r="C14">
        <v>2</v>
      </c>
      <c r="D14" t="s">
        <v>59</v>
      </c>
      <c r="E14" t="str">
        <f t="shared" si="0"/>
        <v>O</v>
      </c>
      <c r="F14" t="s">
        <v>51</v>
      </c>
      <c r="G14">
        <v>7726</v>
      </c>
      <c r="H14">
        <f t="shared" si="1"/>
        <v>1031</v>
      </c>
    </row>
    <row r="15" spans="1:12" x14ac:dyDescent="0.3">
      <c r="A15" t="s">
        <v>16</v>
      </c>
      <c r="B15">
        <v>18</v>
      </c>
      <c r="C15">
        <v>2</v>
      </c>
      <c r="D15" t="s">
        <v>59</v>
      </c>
      <c r="E15" t="str">
        <f t="shared" si="0"/>
        <v>O</v>
      </c>
      <c r="F15" t="s">
        <v>51</v>
      </c>
      <c r="G15">
        <v>7384</v>
      </c>
      <c r="H15">
        <f t="shared" si="1"/>
        <v>689</v>
      </c>
    </row>
    <row r="16" spans="1:12" x14ac:dyDescent="0.3">
      <c r="A16" t="s">
        <v>13</v>
      </c>
      <c r="B16">
        <v>19</v>
      </c>
      <c r="C16">
        <v>3</v>
      </c>
      <c r="D16" t="s">
        <v>59</v>
      </c>
      <c r="E16" t="str">
        <f t="shared" si="0"/>
        <v>O</v>
      </c>
      <c r="F16" t="s">
        <v>51</v>
      </c>
      <c r="G16">
        <v>7486</v>
      </c>
      <c r="H16">
        <f t="shared" si="1"/>
        <v>791</v>
      </c>
    </row>
    <row r="17" spans="1:8" x14ac:dyDescent="0.3">
      <c r="A17" t="s">
        <v>18</v>
      </c>
      <c r="B17">
        <v>23</v>
      </c>
      <c r="C17">
        <v>2</v>
      </c>
      <c r="D17" t="s">
        <v>60</v>
      </c>
      <c r="E17" t="str">
        <f t="shared" si="0"/>
        <v>B</v>
      </c>
      <c r="F17">
        <v>0.73199999999999998</v>
      </c>
      <c r="G17">
        <v>7157</v>
      </c>
      <c r="H17">
        <f t="shared" si="1"/>
        <v>462</v>
      </c>
    </row>
    <row r="18" spans="1:8" x14ac:dyDescent="0.3">
      <c r="A18" t="s">
        <v>19</v>
      </c>
      <c r="B18">
        <v>24</v>
      </c>
      <c r="C18">
        <v>2</v>
      </c>
      <c r="D18" t="s">
        <v>60</v>
      </c>
      <c r="E18" t="str">
        <f t="shared" si="0"/>
        <v>B</v>
      </c>
      <c r="F18" t="s">
        <v>51</v>
      </c>
      <c r="G18">
        <v>7296</v>
      </c>
      <c r="H18">
        <f t="shared" si="1"/>
        <v>601</v>
      </c>
    </row>
    <row r="19" spans="1:8" x14ac:dyDescent="0.3">
      <c r="A19" t="s">
        <v>20</v>
      </c>
      <c r="B19">
        <v>25</v>
      </c>
      <c r="C19">
        <v>3</v>
      </c>
      <c r="D19" t="s">
        <v>61</v>
      </c>
      <c r="E19" t="str">
        <f t="shared" si="0"/>
        <v>D</v>
      </c>
      <c r="F19">
        <v>0.78200000000000003</v>
      </c>
      <c r="G19">
        <v>7711</v>
      </c>
      <c r="H19">
        <f t="shared" si="1"/>
        <v>1016</v>
      </c>
    </row>
    <row r="20" spans="1:8" x14ac:dyDescent="0.3">
      <c r="A20" t="s">
        <v>21</v>
      </c>
      <c r="B20">
        <v>26</v>
      </c>
      <c r="C20">
        <v>3</v>
      </c>
      <c r="D20" t="s">
        <v>61</v>
      </c>
      <c r="E20" t="str">
        <f t="shared" si="0"/>
        <v>D</v>
      </c>
      <c r="F20" t="s">
        <v>51</v>
      </c>
      <c r="G20">
        <v>7339</v>
      </c>
      <c r="H20">
        <f t="shared" si="1"/>
        <v>644</v>
      </c>
    </row>
    <row r="21" spans="1:8" x14ac:dyDescent="0.3">
      <c r="A21" t="s">
        <v>22</v>
      </c>
      <c r="B21">
        <v>27</v>
      </c>
      <c r="C21">
        <v>2</v>
      </c>
      <c r="D21" t="s">
        <v>63</v>
      </c>
      <c r="E21" t="str">
        <f t="shared" si="0"/>
        <v>B</v>
      </c>
      <c r="F21">
        <v>1.65</v>
      </c>
      <c r="G21">
        <v>7800</v>
      </c>
      <c r="H21">
        <f t="shared" si="1"/>
        <v>1105</v>
      </c>
    </row>
    <row r="22" spans="1:8" x14ac:dyDescent="0.3">
      <c r="A22" t="s">
        <v>23</v>
      </c>
      <c r="B22">
        <v>29</v>
      </c>
      <c r="C22">
        <v>2</v>
      </c>
      <c r="D22" t="s">
        <v>62</v>
      </c>
      <c r="E22" t="str">
        <f t="shared" si="0"/>
        <v>C</v>
      </c>
      <c r="F22">
        <v>2.0099999999999998</v>
      </c>
      <c r="G22">
        <v>7417</v>
      </c>
      <c r="H22">
        <f t="shared" si="1"/>
        <v>722</v>
      </c>
    </row>
    <row r="23" spans="1:8" x14ac:dyDescent="0.3">
      <c r="A23" t="s">
        <v>25</v>
      </c>
      <c r="B23">
        <v>31</v>
      </c>
      <c r="C23">
        <v>2</v>
      </c>
      <c r="D23" t="s">
        <v>62</v>
      </c>
      <c r="E23" t="str">
        <f t="shared" si="0"/>
        <v>C</v>
      </c>
      <c r="F23" t="s">
        <v>51</v>
      </c>
      <c r="G23">
        <v>7283</v>
      </c>
      <c r="H23">
        <f t="shared" si="1"/>
        <v>588</v>
      </c>
    </row>
    <row r="24" spans="1:8" x14ac:dyDescent="0.3">
      <c r="A24" t="s">
        <v>26</v>
      </c>
      <c r="B24">
        <v>32</v>
      </c>
      <c r="C24">
        <v>2</v>
      </c>
      <c r="D24" t="s">
        <v>62</v>
      </c>
      <c r="E24" t="str">
        <f t="shared" si="0"/>
        <v>C</v>
      </c>
      <c r="F24">
        <v>2.2200000000000002</v>
      </c>
      <c r="G24">
        <v>7519</v>
      </c>
      <c r="H24">
        <f t="shared" si="1"/>
        <v>824</v>
      </c>
    </row>
    <row r="25" spans="1:8" x14ac:dyDescent="0.3">
      <c r="A25" t="s">
        <v>27</v>
      </c>
      <c r="B25">
        <v>33</v>
      </c>
      <c r="C25">
        <v>3</v>
      </c>
      <c r="D25" t="s">
        <v>64</v>
      </c>
      <c r="E25" t="str">
        <f t="shared" si="0"/>
        <v>B</v>
      </c>
      <c r="F25" t="s">
        <v>51</v>
      </c>
      <c r="G25">
        <v>7387</v>
      </c>
      <c r="H25">
        <f t="shared" si="1"/>
        <v>692</v>
      </c>
    </row>
    <row r="26" spans="1:8" x14ac:dyDescent="0.3">
      <c r="A26" t="s">
        <v>28</v>
      </c>
      <c r="B26">
        <v>34</v>
      </c>
      <c r="C26">
        <v>3</v>
      </c>
      <c r="D26" t="s">
        <v>64</v>
      </c>
      <c r="E26" t="str">
        <f t="shared" si="0"/>
        <v>B</v>
      </c>
      <c r="F26">
        <v>3.11</v>
      </c>
      <c r="G26">
        <v>7282</v>
      </c>
      <c r="H26">
        <f t="shared" si="1"/>
        <v>587</v>
      </c>
    </row>
    <row r="27" spans="1:8" x14ac:dyDescent="0.3">
      <c r="A27" t="s">
        <v>29</v>
      </c>
      <c r="B27">
        <v>35</v>
      </c>
      <c r="C27">
        <v>3</v>
      </c>
      <c r="D27" t="s">
        <v>64</v>
      </c>
      <c r="E27" t="str">
        <f t="shared" si="0"/>
        <v>B</v>
      </c>
      <c r="F27">
        <v>2.95</v>
      </c>
      <c r="G27">
        <v>7763</v>
      </c>
      <c r="H27">
        <f t="shared" si="1"/>
        <v>1068</v>
      </c>
    </row>
    <row r="28" spans="1:8" x14ac:dyDescent="0.3">
      <c r="A28" t="s">
        <v>30</v>
      </c>
      <c r="B28">
        <v>37</v>
      </c>
      <c r="C28">
        <v>3</v>
      </c>
      <c r="D28" t="s">
        <v>65</v>
      </c>
      <c r="E28" t="str">
        <f t="shared" si="0"/>
        <v>O</v>
      </c>
      <c r="F28" t="s">
        <v>51</v>
      </c>
      <c r="G28">
        <v>7770</v>
      </c>
      <c r="H28">
        <f t="shared" si="1"/>
        <v>1075</v>
      </c>
    </row>
    <row r="29" spans="1:8" x14ac:dyDescent="0.3">
      <c r="A29" t="s">
        <v>31</v>
      </c>
      <c r="B29">
        <v>39</v>
      </c>
      <c r="C29">
        <v>2</v>
      </c>
      <c r="D29" t="s">
        <v>65</v>
      </c>
      <c r="E29" t="str">
        <f t="shared" si="0"/>
        <v>O</v>
      </c>
      <c r="F29">
        <v>1.07</v>
      </c>
      <c r="G29">
        <v>7501</v>
      </c>
      <c r="H29">
        <f t="shared" si="1"/>
        <v>806</v>
      </c>
    </row>
    <row r="30" spans="1:8" x14ac:dyDescent="0.3">
      <c r="A30" t="s">
        <v>33</v>
      </c>
      <c r="B30">
        <v>40</v>
      </c>
      <c r="C30">
        <v>2</v>
      </c>
      <c r="D30" t="s">
        <v>65</v>
      </c>
      <c r="E30" t="str">
        <f t="shared" si="0"/>
        <v>O</v>
      </c>
      <c r="F30">
        <v>1</v>
      </c>
      <c r="G30">
        <v>7565</v>
      </c>
      <c r="H30">
        <f t="shared" si="1"/>
        <v>870</v>
      </c>
    </row>
    <row r="31" spans="1:8" x14ac:dyDescent="0.3">
      <c r="A31" t="s">
        <v>38</v>
      </c>
      <c r="B31">
        <v>41</v>
      </c>
      <c r="C31">
        <v>2</v>
      </c>
      <c r="D31" t="s">
        <v>66</v>
      </c>
      <c r="E31" t="str">
        <f t="shared" si="0"/>
        <v>C</v>
      </c>
      <c r="F31">
        <v>4.8</v>
      </c>
      <c r="G31">
        <v>7527</v>
      </c>
      <c r="H31">
        <f t="shared" si="1"/>
        <v>832</v>
      </c>
    </row>
    <row r="32" spans="1:8" x14ac:dyDescent="0.3">
      <c r="A32" t="s">
        <v>34</v>
      </c>
      <c r="B32">
        <v>42</v>
      </c>
      <c r="C32">
        <v>2</v>
      </c>
      <c r="D32" t="s">
        <v>66</v>
      </c>
      <c r="E32" t="str">
        <f t="shared" si="0"/>
        <v>C</v>
      </c>
      <c r="F32">
        <v>3.17</v>
      </c>
      <c r="G32">
        <v>7520</v>
      </c>
      <c r="H32">
        <f t="shared" si="1"/>
        <v>825</v>
      </c>
    </row>
    <row r="33" spans="1:8" x14ac:dyDescent="0.3">
      <c r="A33" t="s">
        <v>35</v>
      </c>
      <c r="B33">
        <v>44</v>
      </c>
      <c r="C33">
        <v>2</v>
      </c>
      <c r="D33" t="s">
        <v>66</v>
      </c>
      <c r="E33" t="str">
        <f t="shared" si="0"/>
        <v>C</v>
      </c>
      <c r="F33" t="s">
        <v>51</v>
      </c>
      <c r="G33">
        <v>7562</v>
      </c>
      <c r="H33">
        <f t="shared" si="1"/>
        <v>867</v>
      </c>
    </row>
    <row r="34" spans="1:8" x14ac:dyDescent="0.3">
      <c r="A34" t="s">
        <v>36</v>
      </c>
      <c r="B34">
        <v>45</v>
      </c>
      <c r="C34">
        <v>2</v>
      </c>
      <c r="D34" t="s">
        <v>67</v>
      </c>
      <c r="E34" t="str">
        <f t="shared" si="0"/>
        <v>D</v>
      </c>
      <c r="F34" t="s">
        <v>51</v>
      </c>
      <c r="G34">
        <v>7453</v>
      </c>
      <c r="H34">
        <f t="shared" si="1"/>
        <v>758</v>
      </c>
    </row>
    <row r="35" spans="1:8" x14ac:dyDescent="0.3">
      <c r="A35" t="s">
        <v>37</v>
      </c>
      <c r="B35">
        <v>46</v>
      </c>
      <c r="C35">
        <v>2</v>
      </c>
      <c r="D35" t="s">
        <v>67</v>
      </c>
      <c r="E35" t="str">
        <f t="shared" si="0"/>
        <v>D</v>
      </c>
      <c r="F35">
        <v>15.9</v>
      </c>
      <c r="G35">
        <v>7526</v>
      </c>
      <c r="H35">
        <f t="shared" si="1"/>
        <v>831</v>
      </c>
    </row>
    <row r="36" spans="1:8" x14ac:dyDescent="0.3">
      <c r="A36" t="s">
        <v>39</v>
      </c>
      <c r="B36">
        <v>48</v>
      </c>
      <c r="C36">
        <v>2</v>
      </c>
      <c r="D36" t="s">
        <v>67</v>
      </c>
      <c r="E36" t="str">
        <f t="shared" si="0"/>
        <v>D</v>
      </c>
      <c r="F36">
        <v>0.46500000000000002</v>
      </c>
      <c r="G36">
        <v>7417</v>
      </c>
      <c r="H36">
        <f t="shared" si="1"/>
        <v>722</v>
      </c>
    </row>
    <row r="37" spans="1:8" x14ac:dyDescent="0.3">
      <c r="A37" t="s">
        <v>2</v>
      </c>
      <c r="B37" t="s">
        <v>46</v>
      </c>
      <c r="C37" t="s">
        <v>47</v>
      </c>
      <c r="D37" t="s">
        <v>46</v>
      </c>
      <c r="E37" t="s">
        <v>46</v>
      </c>
      <c r="F37" t="s">
        <v>51</v>
      </c>
      <c r="G37" t="s">
        <v>51</v>
      </c>
      <c r="H37" t="s">
        <v>51</v>
      </c>
    </row>
    <row r="38" spans="1:8" x14ac:dyDescent="0.3">
      <c r="A38" t="s">
        <v>1</v>
      </c>
      <c r="B38" t="s">
        <v>46</v>
      </c>
      <c r="C38" t="s">
        <v>47</v>
      </c>
      <c r="D38" t="s">
        <v>46</v>
      </c>
      <c r="E38" t="s">
        <v>46</v>
      </c>
      <c r="F38" t="s">
        <v>51</v>
      </c>
      <c r="G38" t="s">
        <v>51</v>
      </c>
      <c r="H38" t="s">
        <v>51</v>
      </c>
    </row>
    <row r="39" spans="1:8" x14ac:dyDescent="0.3">
      <c r="A39" t="s">
        <v>3</v>
      </c>
      <c r="B39" t="s">
        <v>46</v>
      </c>
      <c r="C39" t="s">
        <v>47</v>
      </c>
      <c r="D39" t="s">
        <v>46</v>
      </c>
      <c r="E39" t="s">
        <v>46</v>
      </c>
      <c r="F39" t="s">
        <v>51</v>
      </c>
      <c r="G39" t="s">
        <v>51</v>
      </c>
      <c r="H39" t="s">
        <v>51</v>
      </c>
    </row>
    <row r="40" spans="1:8" x14ac:dyDescent="0.3">
      <c r="A40" t="s">
        <v>4</v>
      </c>
      <c r="B40" t="s">
        <v>46</v>
      </c>
      <c r="C40" t="s">
        <v>47</v>
      </c>
      <c r="D40" t="s">
        <v>46</v>
      </c>
      <c r="E40" t="s">
        <v>46</v>
      </c>
      <c r="F40" t="s">
        <v>51</v>
      </c>
      <c r="G40" t="s">
        <v>51</v>
      </c>
      <c r="H40" t="s">
        <v>51</v>
      </c>
    </row>
    <row r="41" spans="1:8" x14ac:dyDescent="0.3">
      <c r="A41" t="s">
        <v>5</v>
      </c>
      <c r="B41" t="s">
        <v>46</v>
      </c>
      <c r="C41" t="s">
        <v>47</v>
      </c>
      <c r="D41" t="s">
        <v>46</v>
      </c>
      <c r="E41" t="s">
        <v>46</v>
      </c>
      <c r="F41" t="s">
        <v>51</v>
      </c>
      <c r="G41" t="s">
        <v>51</v>
      </c>
      <c r="H41" t="s">
        <v>51</v>
      </c>
    </row>
    <row r="42" spans="1:8" x14ac:dyDescent="0.3">
      <c r="A42" t="s">
        <v>6</v>
      </c>
      <c r="B42" t="s">
        <v>46</v>
      </c>
      <c r="C42" t="s">
        <v>48</v>
      </c>
      <c r="D42" t="s">
        <v>46</v>
      </c>
      <c r="E42" t="s">
        <v>46</v>
      </c>
      <c r="F42" t="s">
        <v>51</v>
      </c>
      <c r="G42" t="s">
        <v>51</v>
      </c>
      <c r="H42" t="s">
        <v>51</v>
      </c>
    </row>
    <row r="43" spans="1:8" x14ac:dyDescent="0.3">
      <c r="A43" t="s">
        <v>7</v>
      </c>
      <c r="B43" t="s">
        <v>46</v>
      </c>
      <c r="C43" t="s">
        <v>48</v>
      </c>
      <c r="D43" t="s">
        <v>46</v>
      </c>
      <c r="E43" t="s">
        <v>46</v>
      </c>
      <c r="F43" t="s">
        <v>51</v>
      </c>
      <c r="G43" t="s">
        <v>51</v>
      </c>
      <c r="H43" t="s">
        <v>51</v>
      </c>
    </row>
    <row r="44" spans="1:8" x14ac:dyDescent="0.3">
      <c r="A44" t="s">
        <v>8</v>
      </c>
      <c r="B44" t="s">
        <v>46</v>
      </c>
      <c r="C44" t="s">
        <v>48</v>
      </c>
      <c r="D44" t="s">
        <v>46</v>
      </c>
      <c r="E44" t="s">
        <v>46</v>
      </c>
      <c r="F44" t="s">
        <v>51</v>
      </c>
      <c r="G44" t="s">
        <v>51</v>
      </c>
      <c r="H44" t="s">
        <v>51</v>
      </c>
    </row>
  </sheetData>
  <sortState xmlns:xlrd2="http://schemas.microsoft.com/office/spreadsheetml/2017/richdata2" ref="A2:H44">
    <sortCondition ref="B2:B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Wenke Smets</dc:creator>
  <cp:lastModifiedBy>Wenke Smets</cp:lastModifiedBy>
  <dcterms:created xsi:type="dcterms:W3CDTF">2024-03-06T14:09:04Z</dcterms:created>
  <dcterms:modified xsi:type="dcterms:W3CDTF">2024-03-06T14:48:29Z</dcterms:modified>
</cp:coreProperties>
</file>